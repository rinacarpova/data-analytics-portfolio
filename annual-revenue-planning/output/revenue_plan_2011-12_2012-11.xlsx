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" sheetId="1" r:id="rId1"/>
    <sheet name="Assumptions" sheetId="2" r:id="rId2"/>
    <sheet name="History" sheetId="3" r:id="rId3"/>
  </sheets>
  <calcPr calcId="124519" fullCalcOnLoad="1"/>
</workbook>
</file>

<file path=xl/sharedStrings.xml><?xml version="1.0" encoding="utf-8"?>
<sst xmlns="http://schemas.openxmlformats.org/spreadsheetml/2006/main" count="59" uniqueCount="58">
  <si>
    <t>month</t>
  </si>
  <si>
    <t>plan</t>
  </si>
  <si>
    <t>base</t>
  </si>
  <si>
    <t>uplift</t>
  </si>
  <si>
    <t>UK total</t>
  </si>
  <si>
    <t>UK base</t>
  </si>
  <si>
    <t>UK uplift</t>
  </si>
  <si>
    <t>EU total</t>
  </si>
  <si>
    <t>EU base</t>
  </si>
  <si>
    <t>EU uplift</t>
  </si>
  <si>
    <t>RoW total</t>
  </si>
  <si>
    <t>RoW base</t>
  </si>
  <si>
    <t>RoW uplift</t>
  </si>
  <si>
    <t>Direct Sales total</t>
  </si>
  <si>
    <t>Direct Sales base</t>
  </si>
  <si>
    <t>Direct Sales uplift</t>
  </si>
  <si>
    <t>TOTAL</t>
  </si>
  <si>
    <t>parameter</t>
  </si>
  <si>
    <t>value</t>
  </si>
  <si>
    <t>Revenue</t>
  </si>
  <si>
    <t>Plan period</t>
  </si>
  <si>
    <t>Reference period (YoY)</t>
  </si>
  <si>
    <t>YoY target</t>
  </si>
  <si>
    <t>Organic growth per year</t>
  </si>
  <si>
    <t>Uplift on top of base</t>
  </si>
  <si>
    <t>Direct Sales, year</t>
  </si>
  <si>
    <t>gross, GBP</t>
  </si>
  <si>
    <t>2011-12 – 2012-11</t>
  </si>
  <si>
    <t>2010-12 – 2011-11</t>
  </si>
  <si>
    <t>21.94%</t>
  </si>
  <si>
    <t>UK</t>
  </si>
  <si>
    <t>EU</t>
  </si>
  <si>
    <t>RoW</t>
  </si>
  <si>
    <t>total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</si>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</sst>
</file>

<file path=xl/styles.xml><?xml version="1.0" encoding="utf-8"?>
<styleSheet xmlns="http://schemas.openxmlformats.org/spreadsheetml/2006/main">
  <numFmts count="2">
    <numFmt numFmtId="164" formatCode="mmm yyyy"/>
    <numFmt numFmtId="165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3E52"/>
        <bgColor indexed="64"/>
      </patternFill>
    </fill>
    <fill>
      <patternFill patternType="solid">
        <fgColor rgb="FFEDEF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/>
    <xf numFmtId="165" fontId="2" fillId="3" borderId="1" xfId="0" applyNumberFormat="1" applyFont="1" applyFill="1" applyBorder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1.7109375" customWidth="1"/>
    <col min="2" max="16" width="13.7109375" customWidth="1"/>
  </cols>
  <sheetData>
    <row r="1" spans="1:16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40878</v>
      </c>
      <c r="B2" s="3">
        <v>984644</v>
      </c>
      <c r="C2" s="3">
        <v>810170</v>
      </c>
      <c r="D2" s="3">
        <v>174474</v>
      </c>
      <c r="E2" s="3">
        <v>881636</v>
      </c>
      <c r="F2" s="3">
        <v>722998</v>
      </c>
      <c r="G2" s="3">
        <v>158638</v>
      </c>
      <c r="H2" s="3">
        <v>69365</v>
      </c>
      <c r="I2" s="3">
        <v>56884</v>
      </c>
      <c r="J2" s="3">
        <v>12481</v>
      </c>
      <c r="K2" s="3">
        <v>18643</v>
      </c>
      <c r="L2" s="3">
        <v>15288</v>
      </c>
      <c r="M2" s="3">
        <v>3355</v>
      </c>
      <c r="N2" s="3">
        <v>15000</v>
      </c>
      <c r="O2" s="3">
        <v>15000</v>
      </c>
      <c r="P2" s="3">
        <v>0</v>
      </c>
    </row>
    <row r="3" spans="1:16">
      <c r="A3" s="2">
        <v>40909</v>
      </c>
      <c r="B3" s="3">
        <v>853049</v>
      </c>
      <c r="C3" s="3">
        <v>702254</v>
      </c>
      <c r="D3" s="3">
        <v>150795</v>
      </c>
      <c r="E3" s="3">
        <v>682391</v>
      </c>
      <c r="F3" s="3">
        <v>559604</v>
      </c>
      <c r="G3" s="3">
        <v>122787</v>
      </c>
      <c r="H3" s="3">
        <v>129962</v>
      </c>
      <c r="I3" s="3">
        <v>106577</v>
      </c>
      <c r="J3" s="3">
        <v>23385</v>
      </c>
      <c r="K3" s="3">
        <v>25696</v>
      </c>
      <c r="L3" s="3">
        <v>21073</v>
      </c>
      <c r="M3" s="3">
        <v>4623</v>
      </c>
      <c r="N3" s="3">
        <v>15000</v>
      </c>
      <c r="O3" s="3">
        <v>15000</v>
      </c>
      <c r="P3" s="3">
        <v>0</v>
      </c>
    </row>
    <row r="4" spans="1:16">
      <c r="A4" s="2">
        <v>40940</v>
      </c>
      <c r="B4" s="3">
        <v>649833</v>
      </c>
      <c r="C4" s="3">
        <v>535604</v>
      </c>
      <c r="D4" s="3">
        <v>114229</v>
      </c>
      <c r="E4" s="3">
        <v>522450</v>
      </c>
      <c r="F4" s="3">
        <v>428442</v>
      </c>
      <c r="G4" s="3">
        <v>94008</v>
      </c>
      <c r="H4" s="3">
        <v>78583</v>
      </c>
      <c r="I4" s="3">
        <v>64443</v>
      </c>
      <c r="J4" s="3">
        <v>14140</v>
      </c>
      <c r="K4" s="3">
        <v>33800</v>
      </c>
      <c r="L4" s="3">
        <v>27719</v>
      </c>
      <c r="M4" s="3">
        <v>6081</v>
      </c>
      <c r="N4" s="3">
        <v>15000</v>
      </c>
      <c r="O4" s="3">
        <v>15000</v>
      </c>
      <c r="P4" s="3">
        <v>0</v>
      </c>
    </row>
    <row r="5" spans="1:16">
      <c r="A5" s="2">
        <v>40969</v>
      </c>
      <c r="B5" s="3">
        <v>877302</v>
      </c>
      <c r="C5" s="3">
        <v>722143</v>
      </c>
      <c r="D5" s="3">
        <v>155159</v>
      </c>
      <c r="E5" s="3">
        <v>714327</v>
      </c>
      <c r="F5" s="3">
        <v>585794</v>
      </c>
      <c r="G5" s="3">
        <v>128533</v>
      </c>
      <c r="H5" s="3">
        <v>119403</v>
      </c>
      <c r="I5" s="3">
        <v>97918</v>
      </c>
      <c r="J5" s="3">
        <v>21485</v>
      </c>
      <c r="K5" s="3">
        <v>28572</v>
      </c>
      <c r="L5" s="3">
        <v>23431</v>
      </c>
      <c r="M5" s="3">
        <v>5141</v>
      </c>
      <c r="N5" s="3">
        <v>15000</v>
      </c>
      <c r="O5" s="3">
        <v>15000</v>
      </c>
      <c r="P5" s="3">
        <v>0</v>
      </c>
    </row>
    <row r="6" spans="1:16">
      <c r="A6" s="2">
        <v>41000</v>
      </c>
      <c r="B6" s="3">
        <v>659338</v>
      </c>
      <c r="C6" s="3">
        <v>543398</v>
      </c>
      <c r="D6" s="3">
        <v>115940</v>
      </c>
      <c r="E6" s="3">
        <v>581729</v>
      </c>
      <c r="F6" s="3">
        <v>477055</v>
      </c>
      <c r="G6" s="3">
        <v>104674</v>
      </c>
      <c r="H6" s="3">
        <v>43606</v>
      </c>
      <c r="I6" s="3">
        <v>35760</v>
      </c>
      <c r="J6" s="3">
        <v>7846</v>
      </c>
      <c r="K6" s="3">
        <v>19003</v>
      </c>
      <c r="L6" s="3">
        <v>15583</v>
      </c>
      <c r="M6" s="3">
        <v>3420</v>
      </c>
      <c r="N6" s="3">
        <v>15000</v>
      </c>
      <c r="O6" s="3">
        <v>15000</v>
      </c>
      <c r="P6" s="3">
        <v>0</v>
      </c>
    </row>
    <row r="7" spans="1:16">
      <c r="A7" s="2">
        <v>41030</v>
      </c>
      <c r="B7" s="3">
        <v>940045</v>
      </c>
      <c r="C7" s="3">
        <v>773596</v>
      </c>
      <c r="D7" s="3">
        <v>166449</v>
      </c>
      <c r="E7" s="3">
        <v>772831</v>
      </c>
      <c r="F7" s="3">
        <v>633771</v>
      </c>
      <c r="G7" s="3">
        <v>139060</v>
      </c>
      <c r="H7" s="3">
        <v>122890</v>
      </c>
      <c r="I7" s="3">
        <v>100778</v>
      </c>
      <c r="J7" s="3">
        <v>22112</v>
      </c>
      <c r="K7" s="3">
        <v>29324</v>
      </c>
      <c r="L7" s="3">
        <v>24047</v>
      </c>
      <c r="M7" s="3">
        <v>5277</v>
      </c>
      <c r="N7" s="3">
        <v>15000</v>
      </c>
      <c r="O7" s="3">
        <v>15000</v>
      </c>
      <c r="P7" s="3">
        <v>0</v>
      </c>
    </row>
    <row r="8" spans="1:16">
      <c r="A8" s="2">
        <v>41061</v>
      </c>
      <c r="B8" s="3">
        <v>937105</v>
      </c>
      <c r="C8" s="3">
        <v>771185</v>
      </c>
      <c r="D8" s="3">
        <v>165920</v>
      </c>
      <c r="E8" s="3">
        <v>756445</v>
      </c>
      <c r="F8" s="3">
        <v>620333</v>
      </c>
      <c r="G8" s="3">
        <v>136112</v>
      </c>
      <c r="H8" s="3">
        <v>110729</v>
      </c>
      <c r="I8" s="3">
        <v>90805</v>
      </c>
      <c r="J8" s="3">
        <v>19924</v>
      </c>
      <c r="K8" s="3">
        <v>54931</v>
      </c>
      <c r="L8" s="3">
        <v>45047</v>
      </c>
      <c r="M8" s="3">
        <v>9884</v>
      </c>
      <c r="N8" s="3">
        <v>15000</v>
      </c>
      <c r="O8" s="3">
        <v>15000</v>
      </c>
      <c r="P8" s="3">
        <v>0</v>
      </c>
    </row>
    <row r="9" spans="1:16">
      <c r="A9" s="2">
        <v>41091</v>
      </c>
      <c r="B9" s="3">
        <v>875316</v>
      </c>
      <c r="C9" s="3">
        <v>720514</v>
      </c>
      <c r="D9" s="3">
        <v>154802</v>
      </c>
      <c r="E9" s="3">
        <v>721478</v>
      </c>
      <c r="F9" s="3">
        <v>591658</v>
      </c>
      <c r="G9" s="3">
        <v>129820</v>
      </c>
      <c r="H9" s="3">
        <v>112442</v>
      </c>
      <c r="I9" s="3">
        <v>92210</v>
      </c>
      <c r="J9" s="3">
        <v>20232</v>
      </c>
      <c r="K9" s="3">
        <v>26396</v>
      </c>
      <c r="L9" s="3">
        <v>21646</v>
      </c>
      <c r="M9" s="3">
        <v>4750</v>
      </c>
      <c r="N9" s="3">
        <v>15000</v>
      </c>
      <c r="O9" s="3">
        <v>15000</v>
      </c>
      <c r="P9" s="3">
        <v>0</v>
      </c>
    </row>
    <row r="10" spans="1:16">
      <c r="A10" s="2">
        <v>41122</v>
      </c>
      <c r="B10" s="3">
        <v>920385</v>
      </c>
      <c r="C10" s="3">
        <v>757474</v>
      </c>
      <c r="D10" s="3">
        <v>162911</v>
      </c>
      <c r="E10" s="3">
        <v>723485</v>
      </c>
      <c r="F10" s="3">
        <v>593304</v>
      </c>
      <c r="G10" s="3">
        <v>130181</v>
      </c>
      <c r="H10" s="3">
        <v>128817</v>
      </c>
      <c r="I10" s="3">
        <v>105638</v>
      </c>
      <c r="J10" s="3">
        <v>23179</v>
      </c>
      <c r="K10" s="3">
        <v>53083</v>
      </c>
      <c r="L10" s="3">
        <v>43532</v>
      </c>
      <c r="M10" s="3">
        <v>9551</v>
      </c>
      <c r="N10" s="3">
        <v>15000</v>
      </c>
      <c r="O10" s="3">
        <v>15000</v>
      </c>
      <c r="P10" s="3">
        <v>0</v>
      </c>
    </row>
    <row r="11" spans="1:16">
      <c r="A11" s="2">
        <v>41153</v>
      </c>
      <c r="B11" s="3">
        <v>1300431</v>
      </c>
      <c r="C11" s="3">
        <v>1069136</v>
      </c>
      <c r="D11" s="3">
        <v>231295</v>
      </c>
      <c r="E11" s="3">
        <v>1095095</v>
      </c>
      <c r="F11" s="3">
        <v>898048</v>
      </c>
      <c r="G11" s="3">
        <v>197047</v>
      </c>
      <c r="H11" s="3">
        <v>160148</v>
      </c>
      <c r="I11" s="3">
        <v>131332</v>
      </c>
      <c r="J11" s="3">
        <v>28816</v>
      </c>
      <c r="K11" s="3">
        <v>30188</v>
      </c>
      <c r="L11" s="3">
        <v>24756</v>
      </c>
      <c r="M11" s="3">
        <v>5432</v>
      </c>
      <c r="N11" s="3">
        <v>15000</v>
      </c>
      <c r="O11" s="3">
        <v>15000</v>
      </c>
      <c r="P11" s="3">
        <v>0</v>
      </c>
    </row>
    <row r="12" spans="1:16">
      <c r="A12" s="2">
        <v>41183</v>
      </c>
      <c r="B12" s="3">
        <v>1394163</v>
      </c>
      <c r="C12" s="3">
        <v>1146002</v>
      </c>
      <c r="D12" s="3">
        <v>248161</v>
      </c>
      <c r="E12" s="3">
        <v>1139355</v>
      </c>
      <c r="F12" s="3">
        <v>934344</v>
      </c>
      <c r="G12" s="3">
        <v>205011</v>
      </c>
      <c r="H12" s="3">
        <v>191355</v>
      </c>
      <c r="I12" s="3">
        <v>156923</v>
      </c>
      <c r="J12" s="3">
        <v>34432</v>
      </c>
      <c r="K12" s="3">
        <v>48453</v>
      </c>
      <c r="L12" s="3">
        <v>39735</v>
      </c>
      <c r="M12" s="3">
        <v>8718</v>
      </c>
      <c r="N12" s="3">
        <v>15000</v>
      </c>
      <c r="O12" s="3">
        <v>15000</v>
      </c>
      <c r="P12" s="3">
        <v>0</v>
      </c>
    </row>
    <row r="13" spans="1:16">
      <c r="A13" s="2">
        <v>41214</v>
      </c>
      <c r="B13" s="3">
        <v>1830146</v>
      </c>
      <c r="C13" s="3">
        <v>1503535</v>
      </c>
      <c r="D13" s="3">
        <v>326611</v>
      </c>
      <c r="E13" s="3">
        <v>1601078</v>
      </c>
      <c r="F13" s="3">
        <v>1312986</v>
      </c>
      <c r="G13" s="3">
        <v>288092</v>
      </c>
      <c r="H13" s="3">
        <v>174245</v>
      </c>
      <c r="I13" s="3">
        <v>142892</v>
      </c>
      <c r="J13" s="3">
        <v>31353</v>
      </c>
      <c r="K13" s="3">
        <v>39823</v>
      </c>
      <c r="L13" s="3">
        <v>32657</v>
      </c>
      <c r="M13" s="3">
        <v>7166</v>
      </c>
      <c r="N13" s="3">
        <v>15000</v>
      </c>
      <c r="O13" s="3">
        <v>15000</v>
      </c>
      <c r="P13" s="3">
        <v>0</v>
      </c>
    </row>
    <row r="14" spans="1:16">
      <c r="A14" s="4" t="s">
        <v>16</v>
      </c>
      <c r="B14" s="4">
        <f>SUM(B2:B13)</f>
        <v>12221757</v>
      </c>
      <c r="C14" s="4">
        <f>SUM(C2:C13)</f>
        <v>10055011</v>
      </c>
      <c r="D14" s="4">
        <f>SUM(D2:D13)</f>
        <v>2166746</v>
      </c>
      <c r="E14" s="4">
        <f>SUM(E2:E13)</f>
        <v>10192300</v>
      </c>
      <c r="F14" s="4">
        <f>SUM(F2:F13)</f>
        <v>8358337</v>
      </c>
      <c r="G14" s="4">
        <f>SUM(G2:G13)</f>
        <v>1833963</v>
      </c>
      <c r="H14" s="4">
        <f>SUM(H2:H13)</f>
        <v>1441545</v>
      </c>
      <c r="I14" s="4">
        <f>SUM(I2:I13)</f>
        <v>1182160</v>
      </c>
      <c r="J14" s="4">
        <f>SUM(J2:J13)</f>
        <v>259385</v>
      </c>
      <c r="K14" s="4">
        <f>SUM(K2:K13)</f>
        <v>407912</v>
      </c>
      <c r="L14" s="4">
        <f>SUM(L2:L13)</f>
        <v>334514</v>
      </c>
      <c r="M14" s="4">
        <f>SUM(M2:M13)</f>
        <v>73398</v>
      </c>
      <c r="N14" s="4">
        <f>SUM(N2:N13)</f>
        <v>180000</v>
      </c>
      <c r="O14" s="4">
        <f>SUM(O2:O13)</f>
        <v>180000</v>
      </c>
      <c r="P14" s="4">
        <f>SUM(P2:P13)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2" width="26.7109375" customWidth="1"/>
  </cols>
  <sheetData>
    <row r="1" spans="1:2">
      <c r="A1" s="5" t="s">
        <v>17</v>
      </c>
      <c r="B1" s="5" t="s">
        <v>18</v>
      </c>
    </row>
    <row r="2" spans="1:2">
      <c r="A2" t="s">
        <v>19</v>
      </c>
      <c r="B2" t="s">
        <v>26</v>
      </c>
    </row>
    <row r="3" spans="1:2">
      <c r="A3" t="s">
        <v>20</v>
      </c>
      <c r="B3" t="s">
        <v>27</v>
      </c>
    </row>
    <row r="4" spans="1:2">
      <c r="A4" t="s">
        <v>21</v>
      </c>
      <c r="B4" t="s">
        <v>28</v>
      </c>
    </row>
    <row r="5" spans="1:2">
      <c r="A5" t="s">
        <v>22</v>
      </c>
      <c r="B5">
        <v>1.25</v>
      </c>
    </row>
    <row r="6" spans="1:2">
      <c r="A6" t="s">
        <v>23</v>
      </c>
      <c r="B6">
        <v>1.0251</v>
      </c>
    </row>
    <row r="7" spans="1:2">
      <c r="A7" t="s">
        <v>24</v>
      </c>
      <c r="B7" t="s">
        <v>29</v>
      </c>
    </row>
    <row r="8" spans="1:2">
      <c r="A8" t="s">
        <v>25</v>
      </c>
      <c r="B8">
        <v>180000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pans="1:5">
      <c r="A1" s="5" t="s">
        <v>0</v>
      </c>
      <c r="B1" s="5" t="s">
        <v>30</v>
      </c>
      <c r="C1" s="5" t="s">
        <v>31</v>
      </c>
      <c r="D1" s="5" t="s">
        <v>32</v>
      </c>
      <c r="E1" s="5" t="s">
        <v>33</v>
      </c>
    </row>
    <row r="2" spans="1:5">
      <c r="A2" t="s">
        <v>34</v>
      </c>
      <c r="B2">
        <v>727079</v>
      </c>
      <c r="C2">
        <v>68427</v>
      </c>
      <c r="D2">
        <v>2613</v>
      </c>
      <c r="E2">
        <v>798119</v>
      </c>
    </row>
    <row r="3" spans="1:5">
      <c r="A3" t="s">
        <v>35</v>
      </c>
      <c r="B3">
        <v>483164</v>
      </c>
      <c r="C3">
        <v>125040</v>
      </c>
      <c r="D3">
        <v>4161</v>
      </c>
      <c r="E3">
        <v>612366</v>
      </c>
    </row>
    <row r="4" spans="1:5">
      <c r="A4" t="s">
        <v>36</v>
      </c>
      <c r="B4">
        <v>446024</v>
      </c>
      <c r="C4">
        <v>86592</v>
      </c>
      <c r="D4">
        <v>5310</v>
      </c>
      <c r="E4">
        <v>537927</v>
      </c>
    </row>
    <row r="5" spans="1:5">
      <c r="A5" t="s">
        <v>37</v>
      </c>
      <c r="B5">
        <v>668443</v>
      </c>
      <c r="C5">
        <v>87866</v>
      </c>
      <c r="D5">
        <v>5440</v>
      </c>
      <c r="E5">
        <v>761749</v>
      </c>
    </row>
    <row r="6" spans="1:5">
      <c r="A6" t="s">
        <v>38</v>
      </c>
      <c r="B6">
        <v>555597</v>
      </c>
      <c r="C6">
        <v>83735</v>
      </c>
      <c r="D6">
        <v>7120</v>
      </c>
      <c r="E6">
        <v>646452</v>
      </c>
    </row>
    <row r="7" spans="1:5">
      <c r="A7" t="s">
        <v>39</v>
      </c>
      <c r="B7">
        <v>551104</v>
      </c>
      <c r="C7">
        <v>75043</v>
      </c>
      <c r="D7">
        <v>17439</v>
      </c>
      <c r="E7">
        <v>643586</v>
      </c>
    </row>
    <row r="8" spans="1:5">
      <c r="A8" t="s">
        <v>40</v>
      </c>
      <c r="B8">
        <v>600746</v>
      </c>
      <c r="C8">
        <v>84186</v>
      </c>
      <c r="D8">
        <v>11719</v>
      </c>
      <c r="E8">
        <v>696651</v>
      </c>
    </row>
    <row r="9" spans="1:5">
      <c r="A9" t="s">
        <v>41</v>
      </c>
      <c r="B9">
        <v>550388</v>
      </c>
      <c r="C9">
        <v>74285</v>
      </c>
      <c r="D9">
        <v>8406</v>
      </c>
      <c r="E9">
        <v>633079</v>
      </c>
    </row>
    <row r="10" spans="1:5">
      <c r="A10" t="s">
        <v>42</v>
      </c>
      <c r="B10">
        <v>580280</v>
      </c>
      <c r="C10">
        <v>87628</v>
      </c>
      <c r="D10">
        <v>6286</v>
      </c>
      <c r="E10">
        <v>674193</v>
      </c>
    </row>
    <row r="11" spans="1:5">
      <c r="A11" t="s">
        <v>43</v>
      </c>
      <c r="B11">
        <v>724939</v>
      </c>
      <c r="C11">
        <v>126523</v>
      </c>
      <c r="D11">
        <v>17815</v>
      </c>
      <c r="E11">
        <v>869277</v>
      </c>
    </row>
    <row r="12" spans="1:5">
      <c r="A12" t="s">
        <v>44</v>
      </c>
      <c r="B12">
        <v>944072</v>
      </c>
      <c r="C12">
        <v>129646</v>
      </c>
      <c r="D12">
        <v>20846</v>
      </c>
      <c r="E12">
        <v>1094564</v>
      </c>
    </row>
    <row r="13" spans="1:5">
      <c r="A13" t="s">
        <v>45</v>
      </c>
      <c r="B13">
        <v>1245811</v>
      </c>
      <c r="C13">
        <v>141464</v>
      </c>
      <c r="D13">
        <v>42477</v>
      </c>
      <c r="E13">
        <v>1429752</v>
      </c>
    </row>
    <row r="14" spans="1:5">
      <c r="A14" t="s">
        <v>46</v>
      </c>
      <c r="B14">
        <v>705309</v>
      </c>
      <c r="C14">
        <v>55492</v>
      </c>
      <c r="D14">
        <v>14914</v>
      </c>
      <c r="E14">
        <v>775715</v>
      </c>
    </row>
    <row r="15" spans="1:5">
      <c r="A15" t="s">
        <v>47</v>
      </c>
      <c r="B15">
        <v>545913</v>
      </c>
      <c r="C15">
        <v>103969</v>
      </c>
      <c r="D15">
        <v>20558</v>
      </c>
      <c r="E15">
        <v>670439</v>
      </c>
    </row>
    <row r="16" spans="1:5">
      <c r="A16" t="s">
        <v>48</v>
      </c>
      <c r="B16">
        <v>417959</v>
      </c>
      <c r="C16">
        <v>62866</v>
      </c>
      <c r="D16">
        <v>27041</v>
      </c>
      <c r="E16">
        <v>507867</v>
      </c>
    </row>
    <row r="17" spans="1:5">
      <c r="A17" t="s">
        <v>49</v>
      </c>
      <c r="B17">
        <v>571462</v>
      </c>
      <c r="C17">
        <v>95522</v>
      </c>
      <c r="D17">
        <v>22858</v>
      </c>
      <c r="E17">
        <v>689842</v>
      </c>
    </row>
    <row r="18" spans="1:5">
      <c r="A18" t="s">
        <v>50</v>
      </c>
      <c r="B18">
        <v>465384</v>
      </c>
      <c r="C18">
        <v>34885</v>
      </c>
      <c r="D18">
        <v>15201</v>
      </c>
      <c r="E18">
        <v>515470</v>
      </c>
    </row>
    <row r="19" spans="1:5">
      <c r="A19" t="s">
        <v>51</v>
      </c>
      <c r="B19">
        <v>618265</v>
      </c>
      <c r="C19">
        <v>98313</v>
      </c>
      <c r="D19">
        <v>23459</v>
      </c>
      <c r="E19">
        <v>740036</v>
      </c>
    </row>
    <row r="20" spans="1:5">
      <c r="A20" t="s">
        <v>52</v>
      </c>
      <c r="B20">
        <v>605156</v>
      </c>
      <c r="C20">
        <v>88584</v>
      </c>
      <c r="D20">
        <v>43945</v>
      </c>
      <c r="E20">
        <v>737684</v>
      </c>
    </row>
    <row r="21" spans="1:5">
      <c r="A21" t="s">
        <v>53</v>
      </c>
      <c r="B21">
        <v>577182</v>
      </c>
      <c r="C21">
        <v>89954</v>
      </c>
      <c r="D21">
        <v>21116</v>
      </c>
      <c r="E21">
        <v>688253</v>
      </c>
    </row>
    <row r="22" spans="1:5">
      <c r="A22" t="s">
        <v>54</v>
      </c>
      <c r="B22">
        <v>578788</v>
      </c>
      <c r="C22">
        <v>103053</v>
      </c>
      <c r="D22">
        <v>42467</v>
      </c>
      <c r="E22">
        <v>724308</v>
      </c>
    </row>
    <row r="23" spans="1:5">
      <c r="A23" t="s">
        <v>55</v>
      </c>
      <c r="B23">
        <v>876076</v>
      </c>
      <c r="C23">
        <v>128119</v>
      </c>
      <c r="D23">
        <v>24150</v>
      </c>
      <c r="E23">
        <v>1028345</v>
      </c>
    </row>
    <row r="24" spans="1:5">
      <c r="A24" t="s">
        <v>56</v>
      </c>
      <c r="B24">
        <v>911484</v>
      </c>
      <c r="C24">
        <v>153084</v>
      </c>
      <c r="D24">
        <v>38763</v>
      </c>
      <c r="E24">
        <v>1103331</v>
      </c>
    </row>
    <row r="25" spans="1:5">
      <c r="A25" t="s">
        <v>57</v>
      </c>
      <c r="B25">
        <v>1280863</v>
      </c>
      <c r="C25">
        <v>139396</v>
      </c>
      <c r="D25">
        <v>31858</v>
      </c>
      <c r="E25">
        <v>1452116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</vt:lpstr>
      <vt:lpstr>Assumptions</vt:lpstr>
      <vt:lpstr>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2026-10-06T08:30:38Z</dcterms:created>
  <dcterms:modified xsi:type="dcterms:W3CDTF">2026-10-06T08:30:38Z</dcterms:modified>
</cp:coreProperties>
</file>